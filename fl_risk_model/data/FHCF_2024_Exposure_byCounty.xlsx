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meiler/Documents/work/03_code/repos/systemic_risk/fl_risk_model/data/"/>
    </mc:Choice>
  </mc:AlternateContent>
  <xr:revisionPtr revIDLastSave="0" documentId="13_ncr:1_{B824FD9C-EEE2-994A-B6C3-35443F578F97}" xr6:coauthVersionLast="47" xr6:coauthVersionMax="47" xr10:uidLastSave="{00000000-0000-0000-0000-000000000000}"/>
  <bookViews>
    <workbookView xWindow="-29040" yWindow="500" windowWidth="29040" windowHeight="15720" xr2:uid="{31CB2732-4B1C-403F-B37A-12CC1DC93384}"/>
  </bookViews>
  <sheets>
    <sheet name="FHCF Exposure by Coun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6" i="1"/>
  <c r="E73" i="1"/>
  <c r="C73" i="1"/>
  <c r="D73" i="1" l="1"/>
</calcChain>
</file>

<file path=xl/sharedStrings.xml><?xml version="1.0" encoding="utf-8"?>
<sst xmlns="http://schemas.openxmlformats.org/spreadsheetml/2006/main" count="76" uniqueCount="76">
  <si>
    <t xml:space="preserve">FHCF Exposure - 2024 </t>
  </si>
  <si>
    <t>Data as of June 30, 2024</t>
  </si>
  <si>
    <t>County</t>
  </si>
  <si>
    <t>Risks</t>
  </si>
  <si>
    <t>Palm Beach</t>
  </si>
  <si>
    <t>Miami-Dade</t>
  </si>
  <si>
    <t>Hillsborough</t>
  </si>
  <si>
    <t>Orange</t>
  </si>
  <si>
    <t>Broward</t>
  </si>
  <si>
    <t>Lee</t>
  </si>
  <si>
    <t>Duval</t>
  </si>
  <si>
    <t>Pinellas</t>
  </si>
  <si>
    <t>Collier</t>
  </si>
  <si>
    <t>Sarasota</t>
  </si>
  <si>
    <t>Polk</t>
  </si>
  <si>
    <t>Brevard</t>
  </si>
  <si>
    <t>Volusia</t>
  </si>
  <si>
    <t>St. Johns</t>
  </si>
  <si>
    <t>Manatee</t>
  </si>
  <si>
    <t>% Total TIV</t>
  </si>
  <si>
    <t>Total</t>
  </si>
  <si>
    <t xml:space="preserve">TIV </t>
  </si>
  <si>
    <t>Pasco</t>
  </si>
  <si>
    <t>Lake</t>
  </si>
  <si>
    <t>Seminole</t>
  </si>
  <si>
    <t>Marion</t>
  </si>
  <si>
    <t>Osceola</t>
  </si>
  <si>
    <t>St. Lucie</t>
  </si>
  <si>
    <t>Charlotte</t>
  </si>
  <si>
    <t>Sumter</t>
  </si>
  <si>
    <t>Escambia</t>
  </si>
  <si>
    <t>Leon</t>
  </si>
  <si>
    <t>Okaloosa</t>
  </si>
  <si>
    <t>Clay</t>
  </si>
  <si>
    <t>Santa Rosa</t>
  </si>
  <si>
    <t>Alachua</t>
  </si>
  <si>
    <t>Indian River</t>
  </si>
  <si>
    <t>Martin</t>
  </si>
  <si>
    <t>Bay</t>
  </si>
  <si>
    <t>Walton</t>
  </si>
  <si>
    <t>Hernando</t>
  </si>
  <si>
    <t>Flagler</t>
  </si>
  <si>
    <t>Citrus</t>
  </si>
  <si>
    <t>Nassau</t>
  </si>
  <si>
    <t>Monroe</t>
  </si>
  <si>
    <t>Highlands</t>
  </si>
  <si>
    <t>Putnam</t>
  </si>
  <si>
    <t>Columbia</t>
  </si>
  <si>
    <t>Wakulla</t>
  </si>
  <si>
    <t>Jackson</t>
  </si>
  <si>
    <t>Gadsden</t>
  </si>
  <si>
    <t>Levy</t>
  </si>
  <si>
    <t>Gulf</t>
  </si>
  <si>
    <t>Suwannee</t>
  </si>
  <si>
    <t>Okeechobee</t>
  </si>
  <si>
    <t>Baker</t>
  </si>
  <si>
    <t>Hendry</t>
  </si>
  <si>
    <t>DeSoto</t>
  </si>
  <si>
    <t>Bradford</t>
  </si>
  <si>
    <t>Washington</t>
  </si>
  <si>
    <t>Franklin</t>
  </si>
  <si>
    <t>Jefferson</t>
  </si>
  <si>
    <t>Taylor</t>
  </si>
  <si>
    <t>Hardee</t>
  </si>
  <si>
    <t>Gilchrist</t>
  </si>
  <si>
    <t>Madison</t>
  </si>
  <si>
    <t>Holmes</t>
  </si>
  <si>
    <t>Union</t>
  </si>
  <si>
    <t>Calhoun</t>
  </si>
  <si>
    <t>Hamilton</t>
  </si>
  <si>
    <t>Dixie</t>
  </si>
  <si>
    <t>Liberty</t>
  </si>
  <si>
    <t>Lafayette</t>
  </si>
  <si>
    <t>Glades</t>
  </si>
  <si>
    <t>2024 FHCF Exposure - TIV and Risks by County</t>
  </si>
  <si>
    <t>TIV in US $ 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</si>
</sst>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#,##0_);\-#,##0_);0_);_(@_)"/>
    <numFmt numFmtId="167" formatCode="_(* #,##0.00,,,_);_(* \(#,##0.00,,,\);_(* &quot;-&quot;?;_(@_)"/>
    <numFmt numFmtId="168" formatCode="_(* #,##0_);_(* \(#,##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Helvetica Now Text"/>
      <family val="2"/>
    </font>
    <font>
      <b/>
      <sz val="11"/>
      <color theme="1"/>
      <name val="Helvetica Now Text"/>
      <family val="2"/>
    </font>
    <font>
      <b/>
      <sz val="16"/>
      <color theme="1"/>
      <name val="Helvetica Now Text"/>
      <family val="2"/>
    </font>
    <font>
      <b/>
      <sz val="12"/>
      <color theme="1"/>
      <name val="Helvetica Now Text"/>
      <family val="2"/>
    </font>
    <font>
      <i/>
      <sz val="8"/>
      <color theme="1"/>
      <name val="Helvetica Now Text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0" borderId="0" xfId="0" applyNumberFormat="1" applyFont="1" applyAlignment="1">
      <alignment horizontal="right"/>
    </xf>
    <xf numFmtId="0" fontId="2" fillId="0" borderId="1" xfId="0" applyFont="1" applyBorder="1"/>
    <xf numFmtId="165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1" applyNumberFormat="1" applyFont="1"/>
    <xf numFmtId="167" fontId="2" fillId="0" borderId="1" xfId="0" applyNumberFormat="1" applyFont="1" applyBorder="1"/>
    <xf numFmtId="165" fontId="2" fillId="0" borderId="1" xfId="0" applyNumberFormat="1" applyFont="1" applyBorder="1"/>
    <xf numFmtId="168" fontId="2" fillId="0" borderId="1" xfId="1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D58C-7E05-4665-902A-2ECB11ECE0D6}">
  <dimension ref="A1:E74"/>
  <sheetViews>
    <sheetView showGridLines="0" tabSelected="1" zoomScaleNormal="100" workbookViewId="0">
      <selection activeCell="E5" sqref="E5"/>
    </sheetView>
  </sheetViews>
  <sheetFormatPr baseColWidth="10" defaultColWidth="9.1640625" defaultRowHeight="15"/>
  <cols>
    <col min="1" max="1" width="3.6640625" style="1" customWidth="1"/>
    <col min="2" max="2" width="20.5" style="1" customWidth="1"/>
    <col min="3" max="3" width="16" style="1" bestFit="1" customWidth="1"/>
    <col min="4" max="5" width="15.5" style="1" customWidth="1"/>
    <col min="6" max="16384" width="9.1640625" style="1"/>
  </cols>
  <sheetData>
    <row r="1" spans="1:5" ht="21">
      <c r="A1" s="2" t="s">
        <v>0</v>
      </c>
    </row>
    <row r="2" spans="1:5" ht="16">
      <c r="A2" s="3" t="s">
        <v>1</v>
      </c>
    </row>
    <row r="3" spans="1:5" ht="16">
      <c r="A3" s="3"/>
    </row>
    <row r="4" spans="1:5">
      <c r="B4" s="14" t="s">
        <v>74</v>
      </c>
      <c r="C4" s="15"/>
      <c r="D4" s="15"/>
      <c r="E4" s="16"/>
    </row>
    <row r="5" spans="1:5" ht="18.75" customHeight="1" thickBot="1">
      <c r="B5" s="6" t="s">
        <v>2</v>
      </c>
      <c r="C5" s="8" t="s">
        <v>21</v>
      </c>
      <c r="D5" s="8" t="s">
        <v>19</v>
      </c>
      <c r="E5" s="8" t="s">
        <v>3</v>
      </c>
    </row>
    <row r="6" spans="1:5">
      <c r="B6" s="1" t="s">
        <v>4</v>
      </c>
      <c r="C6" s="9">
        <v>294945793274</v>
      </c>
      <c r="D6" s="7">
        <f>C6/$C$73</f>
        <v>8.0569347498060953E-2</v>
      </c>
      <c r="E6" s="5">
        <v>512295</v>
      </c>
    </row>
    <row r="7" spans="1:5">
      <c r="B7" s="1" t="s">
        <v>5</v>
      </c>
      <c r="C7" s="9">
        <v>230201212297</v>
      </c>
      <c r="D7" s="7">
        <f t="shared" ref="D7:D70" si="0">C7/$C$73</f>
        <v>6.288328869570238E-2</v>
      </c>
      <c r="E7" s="5">
        <v>548682</v>
      </c>
    </row>
    <row r="8" spans="1:5">
      <c r="B8" s="1" t="s">
        <v>6</v>
      </c>
      <c r="C8" s="9">
        <v>229730086398</v>
      </c>
      <c r="D8" s="7">
        <f t="shared" si="0"/>
        <v>6.2754592822977712E-2</v>
      </c>
      <c r="E8" s="5">
        <v>490097</v>
      </c>
    </row>
    <row r="9" spans="1:5">
      <c r="B9" s="1" t="s">
        <v>7</v>
      </c>
      <c r="C9" s="9">
        <v>228243148949</v>
      </c>
      <c r="D9" s="7">
        <f t="shared" si="0"/>
        <v>6.2348411135466512E-2</v>
      </c>
      <c r="E9" s="5">
        <v>479803</v>
      </c>
    </row>
    <row r="10" spans="1:5">
      <c r="B10" s="1" t="s">
        <v>8</v>
      </c>
      <c r="C10" s="9">
        <v>227512726958</v>
      </c>
      <c r="D10" s="7">
        <f t="shared" si="0"/>
        <v>6.214888422389455E-2</v>
      </c>
      <c r="E10" s="5">
        <v>542095</v>
      </c>
    </row>
    <row r="11" spans="1:5">
      <c r="B11" s="1" t="s">
        <v>9</v>
      </c>
      <c r="C11" s="9">
        <v>180835577305</v>
      </c>
      <c r="D11" s="7">
        <f t="shared" si="0"/>
        <v>4.9398244694962949E-2</v>
      </c>
      <c r="E11" s="5">
        <v>356765</v>
      </c>
    </row>
    <row r="12" spans="1:5">
      <c r="B12" s="1" t="s">
        <v>10</v>
      </c>
      <c r="C12" s="9">
        <v>153319167863</v>
      </c>
      <c r="D12" s="7">
        <f t="shared" si="0"/>
        <v>4.1881679940395031E-2</v>
      </c>
      <c r="E12" s="5">
        <v>346721</v>
      </c>
    </row>
    <row r="13" spans="1:5">
      <c r="B13" s="1" t="s">
        <v>11</v>
      </c>
      <c r="C13" s="9">
        <v>146343756313</v>
      </c>
      <c r="D13" s="7">
        <f t="shared" si="0"/>
        <v>3.9976230295307724E-2</v>
      </c>
      <c r="E13" s="5">
        <v>374170</v>
      </c>
    </row>
    <row r="14" spans="1:5">
      <c r="B14" s="1" t="s">
        <v>12</v>
      </c>
      <c r="C14" s="9">
        <v>144621968239</v>
      </c>
      <c r="D14" s="7">
        <f t="shared" si="0"/>
        <v>3.9505895254715193E-2</v>
      </c>
      <c r="E14" s="5">
        <v>197699</v>
      </c>
    </row>
    <row r="15" spans="1:5">
      <c r="B15" s="1" t="s">
        <v>13</v>
      </c>
      <c r="C15" s="9">
        <v>121591107885</v>
      </c>
      <c r="D15" s="7">
        <f t="shared" si="0"/>
        <v>3.321463281478293E-2</v>
      </c>
      <c r="E15" s="5">
        <v>223328</v>
      </c>
    </row>
    <row r="16" spans="1:5">
      <c r="B16" s="1" t="s">
        <v>14</v>
      </c>
      <c r="C16" s="9">
        <v>115628342430</v>
      </c>
      <c r="D16" s="7">
        <f t="shared" si="0"/>
        <v>3.1585804287816863E-2</v>
      </c>
      <c r="E16" s="5">
        <v>272232</v>
      </c>
    </row>
    <row r="17" spans="2:5">
      <c r="B17" s="1" t="s">
        <v>15</v>
      </c>
      <c r="C17" s="9">
        <v>114879428776</v>
      </c>
      <c r="D17" s="7">
        <f t="shared" si="0"/>
        <v>3.1381226071035467E-2</v>
      </c>
      <c r="E17" s="5">
        <v>241755</v>
      </c>
    </row>
    <row r="18" spans="2:5">
      <c r="B18" s="1" t="s">
        <v>16</v>
      </c>
      <c r="C18" s="9">
        <v>103266630490</v>
      </c>
      <c r="D18" s="7">
        <f t="shared" si="0"/>
        <v>2.8208997133155923E-2</v>
      </c>
      <c r="E18" s="5">
        <v>223752</v>
      </c>
    </row>
    <row r="19" spans="2:5">
      <c r="B19" s="1" t="s">
        <v>17</v>
      </c>
      <c r="C19" s="9">
        <v>97879428563</v>
      </c>
      <c r="D19" s="7">
        <f t="shared" si="0"/>
        <v>2.6737393353760883E-2</v>
      </c>
      <c r="E19" s="5">
        <v>138203</v>
      </c>
    </row>
    <row r="20" spans="2:5">
      <c r="B20" s="1" t="s">
        <v>18</v>
      </c>
      <c r="C20" s="9">
        <v>96921502340</v>
      </c>
      <c r="D20" s="7">
        <f t="shared" si="0"/>
        <v>2.6475719878504049E-2</v>
      </c>
      <c r="E20" s="5">
        <v>174940</v>
      </c>
    </row>
    <row r="21" spans="2:5">
      <c r="B21" s="1" t="s">
        <v>22</v>
      </c>
      <c r="C21" s="9">
        <v>96467000307</v>
      </c>
      <c r="D21" s="7">
        <f t="shared" si="0"/>
        <v>2.6351565091182388E-2</v>
      </c>
      <c r="E21" s="10">
        <v>212702</v>
      </c>
    </row>
    <row r="22" spans="2:5">
      <c r="B22" s="1" t="s">
        <v>23</v>
      </c>
      <c r="C22" s="9">
        <v>81072033886</v>
      </c>
      <c r="D22" s="7">
        <f t="shared" si="0"/>
        <v>2.214617404109797E-2</v>
      </c>
      <c r="E22" s="10">
        <v>162811</v>
      </c>
    </row>
    <row r="23" spans="2:5">
      <c r="B23" s="1" t="s">
        <v>24</v>
      </c>
      <c r="C23" s="9">
        <v>77701478920</v>
      </c>
      <c r="D23" s="7">
        <f t="shared" si="0"/>
        <v>2.1225450909899787E-2</v>
      </c>
      <c r="E23" s="10">
        <v>156982</v>
      </c>
    </row>
    <row r="24" spans="2:5">
      <c r="B24" s="1" t="s">
        <v>25</v>
      </c>
      <c r="C24" s="9">
        <v>67752361258</v>
      </c>
      <c r="D24" s="7">
        <f t="shared" si="0"/>
        <v>1.8507683996492393E-2</v>
      </c>
      <c r="E24" s="10">
        <v>142791</v>
      </c>
    </row>
    <row r="25" spans="2:5">
      <c r="B25" s="1" t="s">
        <v>26</v>
      </c>
      <c r="C25" s="9">
        <v>67344253489</v>
      </c>
      <c r="D25" s="7">
        <f t="shared" si="0"/>
        <v>1.8396202573780007E-2</v>
      </c>
      <c r="E25" s="10">
        <v>150970</v>
      </c>
    </row>
    <row r="26" spans="2:5">
      <c r="B26" s="1" t="s">
        <v>27</v>
      </c>
      <c r="C26" s="9">
        <v>57703255467</v>
      </c>
      <c r="D26" s="7">
        <f t="shared" si="0"/>
        <v>1.57626036631455E-2</v>
      </c>
      <c r="E26" s="10">
        <v>124031</v>
      </c>
    </row>
    <row r="27" spans="2:5">
      <c r="B27" s="1" t="s">
        <v>28</v>
      </c>
      <c r="C27" s="9">
        <v>50911706762</v>
      </c>
      <c r="D27" s="7">
        <f t="shared" si="0"/>
        <v>1.3907379211258441E-2</v>
      </c>
      <c r="E27" s="10">
        <v>101474</v>
      </c>
    </row>
    <row r="28" spans="2:5">
      <c r="B28" s="1" t="s">
        <v>29</v>
      </c>
      <c r="C28" s="9">
        <v>48685783934</v>
      </c>
      <c r="D28" s="7">
        <f t="shared" si="0"/>
        <v>1.3299331380359583E-2</v>
      </c>
      <c r="E28" s="10">
        <v>83424</v>
      </c>
    </row>
    <row r="29" spans="2:5">
      <c r="B29" s="1" t="s">
        <v>30</v>
      </c>
      <c r="C29" s="9">
        <v>48466711146</v>
      </c>
      <c r="D29" s="7">
        <f t="shared" si="0"/>
        <v>1.3239488005792976E-2</v>
      </c>
      <c r="E29" s="10">
        <v>107600</v>
      </c>
    </row>
    <row r="30" spans="2:5">
      <c r="B30" s="1" t="s">
        <v>31</v>
      </c>
      <c r="C30" s="9">
        <v>45976316045</v>
      </c>
      <c r="D30" s="7">
        <f t="shared" si="0"/>
        <v>1.2559195176142283E-2</v>
      </c>
      <c r="E30" s="10">
        <v>100488</v>
      </c>
    </row>
    <row r="31" spans="2:5">
      <c r="B31" s="1" t="s">
        <v>32</v>
      </c>
      <c r="C31" s="9">
        <v>40898595340</v>
      </c>
      <c r="D31" s="7">
        <f t="shared" si="0"/>
        <v>1.1172131338282463E-2</v>
      </c>
      <c r="E31" s="10">
        <v>83306</v>
      </c>
    </row>
    <row r="32" spans="2:5">
      <c r="B32" s="1" t="s">
        <v>33</v>
      </c>
      <c r="C32" s="9">
        <v>40522006486</v>
      </c>
      <c r="D32" s="7">
        <f t="shared" si="0"/>
        <v>1.1069259831267492E-2</v>
      </c>
      <c r="E32" s="10">
        <v>76491</v>
      </c>
    </row>
    <row r="33" spans="2:5">
      <c r="B33" s="1" t="s">
        <v>34</v>
      </c>
      <c r="C33" s="9">
        <v>40461882997</v>
      </c>
      <c r="D33" s="7">
        <f t="shared" si="0"/>
        <v>1.1052836100573572E-2</v>
      </c>
      <c r="E33" s="10">
        <v>73136</v>
      </c>
    </row>
    <row r="34" spans="2:5">
      <c r="B34" s="1" t="s">
        <v>35</v>
      </c>
      <c r="C34" s="9">
        <v>38050061280</v>
      </c>
      <c r="D34" s="7">
        <f t="shared" si="0"/>
        <v>1.0394006897202551E-2</v>
      </c>
      <c r="E34" s="10">
        <v>87822</v>
      </c>
    </row>
    <row r="35" spans="2:5">
      <c r="B35" s="1" t="s">
        <v>36</v>
      </c>
      <c r="C35" s="9">
        <v>37075821666</v>
      </c>
      <c r="D35" s="7">
        <f t="shared" si="0"/>
        <v>1.0127877147951226E-2</v>
      </c>
      <c r="E35" s="10">
        <v>63759</v>
      </c>
    </row>
    <row r="36" spans="2:5">
      <c r="B36" s="1" t="s">
        <v>37</v>
      </c>
      <c r="C36" s="9">
        <v>35253305454</v>
      </c>
      <c r="D36" s="7">
        <f t="shared" si="0"/>
        <v>9.6300265416567107E-3</v>
      </c>
      <c r="E36" s="10">
        <v>60541</v>
      </c>
    </row>
    <row r="37" spans="2:5">
      <c r="B37" s="1" t="s">
        <v>38</v>
      </c>
      <c r="C37" s="9">
        <v>34630302612</v>
      </c>
      <c r="D37" s="7">
        <f t="shared" si="0"/>
        <v>9.4598429566928547E-3</v>
      </c>
      <c r="E37" s="10">
        <v>80276</v>
      </c>
    </row>
    <row r="38" spans="2:5">
      <c r="B38" s="1" t="s">
        <v>39</v>
      </c>
      <c r="C38" s="9">
        <v>33769562588</v>
      </c>
      <c r="D38" s="7">
        <f t="shared" si="0"/>
        <v>9.2247175076083151E-3</v>
      </c>
      <c r="E38" s="10">
        <v>42773</v>
      </c>
    </row>
    <row r="39" spans="2:5">
      <c r="B39" s="1" t="s">
        <v>40</v>
      </c>
      <c r="C39" s="9">
        <v>33418615231</v>
      </c>
      <c r="D39" s="7">
        <f t="shared" si="0"/>
        <v>9.1288504018401991E-3</v>
      </c>
      <c r="E39" s="10">
        <v>71680</v>
      </c>
    </row>
    <row r="40" spans="2:5">
      <c r="B40" s="1" t="s">
        <v>41</v>
      </c>
      <c r="C40" s="9">
        <v>32881987169</v>
      </c>
      <c r="D40" s="7">
        <f t="shared" si="0"/>
        <v>8.9822615241872683E-3</v>
      </c>
      <c r="E40" s="10">
        <v>57288</v>
      </c>
    </row>
    <row r="41" spans="2:5">
      <c r="B41" s="1" t="s">
        <v>42</v>
      </c>
      <c r="C41" s="9">
        <v>32408563838</v>
      </c>
      <c r="D41" s="7">
        <f t="shared" si="0"/>
        <v>8.8529380697123846E-3</v>
      </c>
      <c r="E41" s="10">
        <v>63535</v>
      </c>
    </row>
    <row r="42" spans="2:5">
      <c r="B42" s="1" t="s">
        <v>43</v>
      </c>
      <c r="C42" s="9">
        <v>25419882856</v>
      </c>
      <c r="D42" s="7">
        <f t="shared" si="0"/>
        <v>6.943863658643361E-3</v>
      </c>
      <c r="E42" s="10">
        <v>39282</v>
      </c>
    </row>
    <row r="43" spans="2:5">
      <c r="B43" s="1" t="s">
        <v>44</v>
      </c>
      <c r="C43" s="9">
        <v>14984734649</v>
      </c>
      <c r="D43" s="7">
        <f t="shared" si="0"/>
        <v>4.0933294206367717E-3</v>
      </c>
      <c r="E43" s="10">
        <v>24754</v>
      </c>
    </row>
    <row r="44" spans="2:5">
      <c r="B44" s="1" t="s">
        <v>45</v>
      </c>
      <c r="C44" s="9">
        <v>14670546163</v>
      </c>
      <c r="D44" s="7">
        <f t="shared" si="0"/>
        <v>4.0075036116722492E-3</v>
      </c>
      <c r="E44" s="10">
        <v>38501</v>
      </c>
    </row>
    <row r="45" spans="2:5">
      <c r="B45" s="1" t="s">
        <v>46</v>
      </c>
      <c r="C45" s="9">
        <v>8229170043</v>
      </c>
      <c r="D45" s="7">
        <f t="shared" si="0"/>
        <v>2.2479346236993661E-3</v>
      </c>
      <c r="E45" s="10">
        <v>21403</v>
      </c>
    </row>
    <row r="46" spans="2:5">
      <c r="B46" s="1" t="s">
        <v>47</v>
      </c>
      <c r="C46" s="9">
        <v>7470866987</v>
      </c>
      <c r="D46" s="7">
        <f t="shared" si="0"/>
        <v>2.0407915356440353E-3</v>
      </c>
      <c r="E46" s="10">
        <v>17318</v>
      </c>
    </row>
    <row r="47" spans="2:5">
      <c r="B47" s="1" t="s">
        <v>48</v>
      </c>
      <c r="C47" s="9">
        <v>5468279617</v>
      </c>
      <c r="D47" s="7">
        <f t="shared" si="0"/>
        <v>1.4937514984977214E-3</v>
      </c>
      <c r="E47" s="10">
        <v>11713</v>
      </c>
    </row>
    <row r="48" spans="2:5">
      <c r="B48" s="1" t="s">
        <v>49</v>
      </c>
      <c r="C48" s="9">
        <v>4948205740</v>
      </c>
      <c r="D48" s="7">
        <f t="shared" si="0"/>
        <v>1.3516846717240624E-3</v>
      </c>
      <c r="E48" s="10">
        <v>11488</v>
      </c>
    </row>
    <row r="49" spans="2:5">
      <c r="B49" s="1" t="s">
        <v>50</v>
      </c>
      <c r="C49" s="9">
        <v>4556795389</v>
      </c>
      <c r="D49" s="7">
        <f t="shared" si="0"/>
        <v>1.2447644263664319E-3</v>
      </c>
      <c r="E49" s="10">
        <v>10601</v>
      </c>
    </row>
    <row r="50" spans="2:5">
      <c r="B50" s="1" t="s">
        <v>51</v>
      </c>
      <c r="C50" s="9">
        <v>4218000726</v>
      </c>
      <c r="D50" s="7">
        <f t="shared" si="0"/>
        <v>1.1522170310273247E-3</v>
      </c>
      <c r="E50" s="10">
        <v>10501</v>
      </c>
    </row>
    <row r="51" spans="2:5">
      <c r="B51" s="1" t="s">
        <v>52</v>
      </c>
      <c r="C51" s="9">
        <v>4053786474</v>
      </c>
      <c r="D51" s="7">
        <f t="shared" si="0"/>
        <v>1.1073591777022865E-3</v>
      </c>
      <c r="E51" s="10">
        <v>7086</v>
      </c>
    </row>
    <row r="52" spans="2:5">
      <c r="B52" s="1" t="s">
        <v>53</v>
      </c>
      <c r="C52" s="9">
        <v>3877816290</v>
      </c>
      <c r="D52" s="7">
        <f t="shared" si="0"/>
        <v>1.0592899960855046E-3</v>
      </c>
      <c r="E52" s="10">
        <v>10757</v>
      </c>
    </row>
    <row r="53" spans="2:5">
      <c r="B53" s="1" t="s">
        <v>54</v>
      </c>
      <c r="C53" s="9">
        <v>3701976868</v>
      </c>
      <c r="D53" s="7">
        <f t="shared" si="0"/>
        <v>1.0112565342832031E-3</v>
      </c>
      <c r="E53" s="10">
        <v>9655</v>
      </c>
    </row>
    <row r="54" spans="2:5">
      <c r="B54" s="1" t="s">
        <v>55</v>
      </c>
      <c r="C54" s="9">
        <v>3220014330</v>
      </c>
      <c r="D54" s="7">
        <f t="shared" si="0"/>
        <v>8.7960045343482953E-4</v>
      </c>
      <c r="E54" s="10">
        <v>6980</v>
      </c>
    </row>
    <row r="55" spans="2:5">
      <c r="B55" s="1" t="s">
        <v>56</v>
      </c>
      <c r="C55" s="9">
        <v>3145924609</v>
      </c>
      <c r="D55" s="7">
        <f t="shared" si="0"/>
        <v>8.5936161425349583E-4</v>
      </c>
      <c r="E55" s="10">
        <v>8320</v>
      </c>
    </row>
    <row r="56" spans="2:5">
      <c r="B56" s="1" t="s">
        <v>57</v>
      </c>
      <c r="C56" s="9">
        <v>3065941460</v>
      </c>
      <c r="D56" s="7">
        <f t="shared" si="0"/>
        <v>8.375128872239035E-4</v>
      </c>
      <c r="E56" s="10">
        <v>8314</v>
      </c>
    </row>
    <row r="57" spans="2:5">
      <c r="B57" s="1" t="s">
        <v>58</v>
      </c>
      <c r="C57" s="9">
        <v>2293904250</v>
      </c>
      <c r="D57" s="7">
        <f t="shared" si="0"/>
        <v>6.2661808664562146E-4</v>
      </c>
      <c r="E57" s="10">
        <v>5569</v>
      </c>
    </row>
    <row r="58" spans="2:5">
      <c r="B58" s="1" t="s">
        <v>59</v>
      </c>
      <c r="C58" s="9">
        <v>2279427513</v>
      </c>
      <c r="D58" s="7">
        <f t="shared" si="0"/>
        <v>6.2266352522928863E-4</v>
      </c>
      <c r="E58" s="10">
        <v>5254</v>
      </c>
    </row>
    <row r="59" spans="2:5">
      <c r="B59" s="1" t="s">
        <v>60</v>
      </c>
      <c r="C59" s="9">
        <v>2270538912</v>
      </c>
      <c r="D59" s="7">
        <f t="shared" si="0"/>
        <v>6.202354560753227E-4</v>
      </c>
      <c r="E59" s="10">
        <v>3845</v>
      </c>
    </row>
    <row r="60" spans="2:5">
      <c r="B60" s="1" t="s">
        <v>61</v>
      </c>
      <c r="C60" s="9">
        <v>2082471110</v>
      </c>
      <c r="D60" s="7">
        <f t="shared" si="0"/>
        <v>5.6886160895468219E-4</v>
      </c>
      <c r="E60" s="10">
        <v>3880</v>
      </c>
    </row>
    <row r="61" spans="2:5">
      <c r="B61" s="1" t="s">
        <v>62</v>
      </c>
      <c r="C61" s="9">
        <v>1843166433</v>
      </c>
      <c r="D61" s="7">
        <f t="shared" si="0"/>
        <v>5.0349155751199946E-4</v>
      </c>
      <c r="E61" s="10">
        <v>4717</v>
      </c>
    </row>
    <row r="62" spans="2:5">
      <c r="B62" s="1" t="s">
        <v>63</v>
      </c>
      <c r="C62" s="9">
        <v>1750552385</v>
      </c>
      <c r="D62" s="7">
        <f t="shared" si="0"/>
        <v>4.7819249040653255E-4</v>
      </c>
      <c r="E62" s="10">
        <v>4473</v>
      </c>
    </row>
    <row r="63" spans="2:5">
      <c r="B63" s="1" t="s">
        <v>64</v>
      </c>
      <c r="C63" s="9">
        <v>1685358002</v>
      </c>
      <c r="D63" s="7">
        <f t="shared" si="0"/>
        <v>4.6038356070273091E-4</v>
      </c>
      <c r="E63" s="10">
        <v>4517</v>
      </c>
    </row>
    <row r="64" spans="2:5">
      <c r="B64" s="1" t="s">
        <v>65</v>
      </c>
      <c r="C64" s="9">
        <v>1645126594</v>
      </c>
      <c r="D64" s="7">
        <f t="shared" si="0"/>
        <v>4.4939368267969687E-4</v>
      </c>
      <c r="E64" s="10">
        <v>4326</v>
      </c>
    </row>
    <row r="65" spans="2:5">
      <c r="B65" s="1" t="s">
        <v>66</v>
      </c>
      <c r="C65" s="9">
        <v>1324527656</v>
      </c>
      <c r="D65" s="7">
        <f t="shared" si="0"/>
        <v>3.6181675216475571E-4</v>
      </c>
      <c r="E65" s="10">
        <v>3406</v>
      </c>
    </row>
    <row r="66" spans="2:5">
      <c r="B66" s="1" t="s">
        <v>67</v>
      </c>
      <c r="C66" s="9">
        <v>1053886678</v>
      </c>
      <c r="D66" s="7">
        <f t="shared" si="0"/>
        <v>2.8788666907508023E-4</v>
      </c>
      <c r="E66" s="10">
        <v>2759</v>
      </c>
    </row>
    <row r="67" spans="2:5">
      <c r="B67" s="1" t="s">
        <v>68</v>
      </c>
      <c r="C67" s="9">
        <v>991215496</v>
      </c>
      <c r="D67" s="7">
        <f t="shared" si="0"/>
        <v>2.7076699367770498E-4</v>
      </c>
      <c r="E67" s="10">
        <v>2392</v>
      </c>
    </row>
    <row r="68" spans="2:5">
      <c r="B68" s="1" t="s">
        <v>69</v>
      </c>
      <c r="C68" s="9">
        <v>950685731</v>
      </c>
      <c r="D68" s="7">
        <f t="shared" si="0"/>
        <v>2.5969561447933753E-4</v>
      </c>
      <c r="E68" s="10">
        <v>2712</v>
      </c>
    </row>
    <row r="69" spans="2:5">
      <c r="B69" s="1" t="s">
        <v>70</v>
      </c>
      <c r="C69" s="9">
        <v>897850018</v>
      </c>
      <c r="D69" s="7">
        <f t="shared" si="0"/>
        <v>2.4526266097370751E-4</v>
      </c>
      <c r="E69" s="10">
        <v>2817</v>
      </c>
    </row>
    <row r="70" spans="2:5">
      <c r="B70" s="1" t="s">
        <v>71</v>
      </c>
      <c r="C70" s="9">
        <v>533817514</v>
      </c>
      <c r="D70" s="7">
        <f t="shared" si="0"/>
        <v>1.4582112973573428E-4</v>
      </c>
      <c r="E70" s="10">
        <v>1321</v>
      </c>
    </row>
    <row r="71" spans="2:5">
      <c r="B71" s="1" t="s">
        <v>72</v>
      </c>
      <c r="C71" s="9">
        <v>434149077</v>
      </c>
      <c r="D71" s="7">
        <f t="shared" ref="D71" si="1">C71/$C$73</f>
        <v>1.1859503898155408E-4</v>
      </c>
      <c r="E71" s="10">
        <v>1151</v>
      </c>
    </row>
    <row r="72" spans="2:5">
      <c r="B72" s="1" t="s">
        <v>73</v>
      </c>
      <c r="C72" s="9">
        <v>329189426</v>
      </c>
      <c r="D72" s="7">
        <f>C72/$C$73</f>
        <v>8.9923565146230662E-5</v>
      </c>
      <c r="E72" s="10">
        <v>1105</v>
      </c>
    </row>
    <row r="73" spans="2:5" ht="16" thickBot="1">
      <c r="B73" s="6" t="s">
        <v>20</v>
      </c>
      <c r="C73" s="11">
        <f>SUM(C6:C72)</f>
        <v>3660769292951</v>
      </c>
      <c r="D73" s="12">
        <f t="shared" ref="D73:E73" si="2">SUM(D6:D72)</f>
        <v>1.0000000000000002</v>
      </c>
      <c r="E73" s="13">
        <f t="shared" si="2"/>
        <v>7517334</v>
      </c>
    </row>
    <row r="74" spans="2:5">
      <c r="B74" s="4" t="s">
        <v>75</v>
      </c>
    </row>
  </sheetData>
  <mergeCells count="1">
    <mergeCell ref="B4:E4"/>
  </mergeCells>
  <pageMargins left="0.7" right="0.7" top="0.75" bottom="0.75" header="0.3" footer="0.3"/>
  <pageSetup orientation="portrait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FHCF Exposure by 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Blasingame</dc:creator>
  <cp:lastModifiedBy>Simona Meiler</cp:lastModifiedBy>
  <dcterms:created xsi:type="dcterms:W3CDTF">2025-06-05T15:22:43Z</dcterms:created>
  <dcterms:modified xsi:type="dcterms:W3CDTF">2025-07-30T18:02:25Z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2025-06-05T18:28:03Z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d384cd69-cf1e-4cbb-a5d3-6d0a96da4f9c</vt:lpwstr>
  </property>
  <property fmtid="{D5CDD505-2E9C-101B-9397-08002B2CF9AE}" pid="8" name="MSIP_Label_9043f10a-881e-4653-a55e-02ca2cc829dc_ContentBits">
    <vt:lpwstr>0</vt:lpwstr>
  </property>
</Properties>
</file>